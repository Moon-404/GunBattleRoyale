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unBattleRoyale\"/>
    </mc:Choice>
  </mc:AlternateContent>
  <xr:revisionPtr revIDLastSave="0" documentId="13_ncr:1_{278E4B1F-5FC0-4EEB-8A57-F120D984AD4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3" i="3"/>
  <c r="R6" i="3"/>
  <c r="S6" i="3"/>
  <c r="W6" i="3"/>
  <c r="S7" i="3"/>
  <c r="W7" i="3"/>
  <c r="S15" i="3"/>
  <c r="W15" i="3"/>
  <c r="S11" i="3"/>
  <c r="R4" i="3"/>
  <c r="S4" i="3"/>
  <c r="T4" i="3"/>
  <c r="U4" i="3"/>
  <c r="V4" i="3"/>
  <c r="W4" i="3"/>
  <c r="X4" i="3"/>
  <c r="Y4" i="3"/>
  <c r="Z4" i="3"/>
  <c r="R9" i="3"/>
  <c r="S9" i="3"/>
  <c r="T9" i="3"/>
  <c r="U9" i="3"/>
  <c r="V9" i="3"/>
  <c r="W9" i="3"/>
  <c r="X9" i="3"/>
  <c r="Y9" i="3"/>
  <c r="Z9" i="3"/>
  <c r="R14" i="3"/>
  <c r="W14" i="3"/>
  <c r="X14" i="3"/>
  <c r="Y14" i="3"/>
  <c r="Z14" i="3"/>
  <c r="S14" i="3"/>
  <c r="T14" i="3"/>
  <c r="U14" i="3"/>
  <c r="V14" i="3"/>
  <c r="R7" i="3"/>
  <c r="R15" i="3"/>
  <c r="R11" i="3"/>
  <c r="R5" i="3"/>
  <c r="R8" i="3"/>
  <c r="R10" i="3"/>
  <c r="R12" i="3"/>
  <c r="R13" i="3"/>
  <c r="R3" i="3"/>
  <c r="W5" i="3"/>
  <c r="X5" i="3"/>
  <c r="Y5" i="3"/>
  <c r="Z5" i="3"/>
  <c r="W8" i="3"/>
  <c r="X8" i="3"/>
  <c r="Y8" i="3"/>
  <c r="Z8" i="3"/>
  <c r="W10" i="3"/>
  <c r="X10" i="3"/>
  <c r="Y10" i="3"/>
  <c r="Z10" i="3"/>
  <c r="W12" i="3"/>
  <c r="X12" i="3"/>
  <c r="Y12" i="3"/>
  <c r="Z12" i="3"/>
  <c r="W13" i="3"/>
  <c r="X13" i="3"/>
  <c r="Y13" i="3"/>
  <c r="Z13" i="3"/>
  <c r="X3" i="3"/>
  <c r="Y3" i="3"/>
  <c r="Z3" i="3"/>
  <c r="W3" i="3"/>
  <c r="S5" i="3"/>
  <c r="T5" i="3"/>
  <c r="U5" i="3"/>
  <c r="V5" i="3"/>
  <c r="S8" i="3"/>
  <c r="T8" i="3"/>
  <c r="U8" i="3"/>
  <c r="V8" i="3"/>
  <c r="S10" i="3"/>
  <c r="T10" i="3"/>
  <c r="U10" i="3"/>
  <c r="V10" i="3"/>
  <c r="S12" i="3"/>
  <c r="T12" i="3"/>
  <c r="U12" i="3"/>
  <c r="V12" i="3"/>
  <c r="S13" i="3"/>
  <c r="T13" i="3"/>
  <c r="U13" i="3"/>
  <c r="V13" i="3"/>
  <c r="T3" i="3"/>
  <c r="U3" i="3"/>
  <c r="V3" i="3"/>
  <c r="S3" i="3"/>
  <c r="M6" i="1"/>
  <c r="L6" i="1"/>
  <c r="M4" i="1"/>
  <c r="L4" i="1"/>
  <c r="M10" i="1"/>
  <c r="L10" i="1"/>
  <c r="O22" i="1"/>
  <c r="K22" i="1"/>
  <c r="L22" i="1"/>
  <c r="M22" i="1"/>
  <c r="N22" i="1"/>
  <c r="J22" i="1"/>
  <c r="D24" i="1"/>
  <c r="B22" i="1"/>
  <c r="C22" i="1" s="1"/>
  <c r="B23" i="1"/>
  <c r="C23" i="1" s="1"/>
  <c r="B24" i="1"/>
  <c r="B25" i="1"/>
  <c r="C25" i="1" s="1"/>
  <c r="B26" i="1"/>
  <c r="C26" i="1" s="1"/>
  <c r="B21" i="1"/>
  <c r="C21" i="1" s="1"/>
  <c r="M2" i="1"/>
  <c r="L2" i="1"/>
  <c r="L7" i="1"/>
  <c r="M7" i="1"/>
  <c r="L3" i="1"/>
  <c r="E22" i="1" s="1"/>
  <c r="M3" i="1"/>
  <c r="M5" i="1"/>
  <c r="M8" i="1"/>
  <c r="M9" i="1"/>
  <c r="L5" i="1"/>
  <c r="E23" i="1" s="1"/>
  <c r="G23" i="1" s="1"/>
  <c r="L8" i="1"/>
  <c r="E25" i="1" s="1"/>
  <c r="L9" i="1"/>
  <c r="E26" i="1" s="1"/>
  <c r="D26" i="1" l="1"/>
  <c r="F26" i="1" s="1"/>
  <c r="G26" i="1"/>
  <c r="D25" i="1"/>
  <c r="F25" i="1" s="1"/>
  <c r="G25" i="1"/>
  <c r="D22" i="1"/>
  <c r="F22" i="1" s="1"/>
  <c r="G22" i="1"/>
  <c r="D23" i="1"/>
  <c r="F23" i="1" s="1"/>
</calcChain>
</file>

<file path=xl/sharedStrings.xml><?xml version="1.0" encoding="utf-8"?>
<sst xmlns="http://schemas.openxmlformats.org/spreadsheetml/2006/main" count="160" uniqueCount="126">
  <si>
    <t>载弹</t>
    <phoneticPr fontId="1" type="noConversion"/>
  </si>
  <si>
    <t>装弹量</t>
    <phoneticPr fontId="1" type="noConversion"/>
  </si>
  <si>
    <t>后坐</t>
    <phoneticPr fontId="1" type="noConversion"/>
  </si>
  <si>
    <t>散布</t>
    <phoneticPr fontId="1" type="noConversion"/>
  </si>
  <si>
    <t>伤害</t>
    <phoneticPr fontId="1" type="noConversion"/>
  </si>
  <si>
    <t>有效射程</t>
    <phoneticPr fontId="1" type="noConversion"/>
  </si>
  <si>
    <t>冲锋枪</t>
    <phoneticPr fontId="1" type="noConversion"/>
  </si>
  <si>
    <t>步枪</t>
    <phoneticPr fontId="1" type="noConversion"/>
  </si>
  <si>
    <t>重型步枪</t>
    <phoneticPr fontId="1" type="noConversion"/>
  </si>
  <si>
    <t>弹速</t>
    <phoneticPr fontId="1" type="noConversion"/>
  </si>
  <si>
    <t>持续时长</t>
    <phoneticPr fontId="1" type="noConversion"/>
  </si>
  <si>
    <t>DPS</t>
    <phoneticPr fontId="1" type="noConversion"/>
  </si>
  <si>
    <t>射击间隔</t>
    <phoneticPr fontId="1" type="noConversion"/>
  </si>
  <si>
    <t>突击步枪</t>
    <phoneticPr fontId="1" type="noConversion"/>
  </si>
  <si>
    <t>使用子弹</t>
    <phoneticPr fontId="1" type="noConversion"/>
  </si>
  <si>
    <t>刷新权重</t>
    <phoneticPr fontId="1" type="noConversion"/>
  </si>
  <si>
    <t>普通子弹</t>
    <phoneticPr fontId="1" type="noConversion"/>
  </si>
  <si>
    <t>高级子弹</t>
    <phoneticPr fontId="1" type="noConversion"/>
  </si>
  <si>
    <t>配件</t>
    <phoneticPr fontId="1" type="noConversion"/>
  </si>
  <si>
    <t>瞄准镜</t>
    <phoneticPr fontId="1" type="noConversion"/>
  </si>
  <si>
    <t>稳定器</t>
    <phoneticPr fontId="1" type="noConversion"/>
  </si>
  <si>
    <t>垂直握把</t>
    <phoneticPr fontId="1" type="noConversion"/>
  </si>
  <si>
    <t>枪托</t>
    <phoneticPr fontId="1" type="noConversion"/>
  </si>
  <si>
    <t>枪管</t>
    <phoneticPr fontId="1" type="noConversion"/>
  </si>
  <si>
    <t>握把</t>
    <phoneticPr fontId="1" type="noConversion"/>
  </si>
  <si>
    <t>设定（除瞄准镜外有更强的附魔款式）</t>
    <phoneticPr fontId="1" type="noConversion"/>
  </si>
  <si>
    <t>分两种缩放比例</t>
    <phoneticPr fontId="1" type="noConversion"/>
  </si>
  <si>
    <t>3(1)</t>
    <phoneticPr fontId="1" type="noConversion"/>
  </si>
  <si>
    <t>6(2)</t>
    <phoneticPr fontId="1" type="noConversion"/>
  </si>
  <si>
    <t>4+4</t>
    <phoneticPr fontId="1" type="noConversion"/>
  </si>
  <si>
    <t>总权重：28，括号中为附魔物品权重</t>
    <phoneticPr fontId="1" type="noConversion"/>
  </si>
  <si>
    <t>机枪</t>
    <phoneticPr fontId="1" type="noConversion"/>
  </si>
  <si>
    <t>空投</t>
    <phoneticPr fontId="1" type="noConversion"/>
  </si>
  <si>
    <t>排名/队伍数</t>
    <phoneticPr fontId="1" type="noConversion"/>
  </si>
  <si>
    <t>100+</t>
    <phoneticPr fontId="1" type="noConversion"/>
  </si>
  <si>
    <t>70-99</t>
    <phoneticPr fontId="1" type="noConversion"/>
  </si>
  <si>
    <t>45-69</t>
    <phoneticPr fontId="1" type="noConversion"/>
  </si>
  <si>
    <t>段位</t>
    <phoneticPr fontId="1" type="noConversion"/>
  </si>
  <si>
    <t>25-44</t>
    <phoneticPr fontId="1" type="noConversion"/>
  </si>
  <si>
    <t>10-24</t>
    <phoneticPr fontId="1" type="noConversion"/>
  </si>
  <si>
    <t>0-9</t>
    <phoneticPr fontId="1" type="noConversion"/>
  </si>
  <si>
    <t>死亡惩罚</t>
    <phoneticPr fontId="1" type="noConversion"/>
  </si>
  <si>
    <t>击杀分 2</t>
    <phoneticPr fontId="1" type="noConversion"/>
  </si>
  <si>
    <t>霰弹枪</t>
    <phoneticPr fontId="1" type="noConversion"/>
  </si>
  <si>
    <t>后座=射击间隔，射击间隔较久的/3</t>
    <phoneticPr fontId="1" type="noConversion"/>
  </si>
  <si>
    <t>机枪自带瞄准时的50%加成</t>
    <phoneticPr fontId="1" type="noConversion"/>
  </si>
  <si>
    <t>原版腰射</t>
    <phoneticPr fontId="1" type="noConversion"/>
  </si>
  <si>
    <t>原版开镜</t>
    <phoneticPr fontId="1" type="noConversion"/>
  </si>
  <si>
    <t>扩散</t>
    <phoneticPr fontId="1" type="noConversion"/>
  </si>
  <si>
    <t>新版腰射</t>
    <phoneticPr fontId="1" type="noConversion"/>
  </si>
  <si>
    <t>新版开镜</t>
    <phoneticPr fontId="1" type="noConversion"/>
  </si>
  <si>
    <t>采用新的散布规则后，散布=射程/10</t>
    <phoneticPr fontId="1" type="noConversion"/>
  </si>
  <si>
    <t>静止</t>
    <phoneticPr fontId="1" type="noConversion"/>
  </si>
  <si>
    <t>扎针疾跑</t>
    <phoneticPr fontId="1" type="noConversion"/>
  </si>
  <si>
    <t>散布折扣</t>
    <phoneticPr fontId="1" type="noConversion"/>
  </si>
  <si>
    <t>瞄准折扣</t>
    <phoneticPr fontId="1" type="noConversion"/>
  </si>
  <si>
    <t>霰弹枪有单独机制</t>
    <phoneticPr fontId="1" type="noConversion"/>
  </si>
  <si>
    <t>大电</t>
    <phoneticPr fontId="1" type="noConversion"/>
  </si>
  <si>
    <t>大血</t>
    <phoneticPr fontId="1" type="noConversion"/>
  </si>
  <si>
    <t>凤凰</t>
    <phoneticPr fontId="1" type="noConversion"/>
  </si>
  <si>
    <t>充能</t>
    <phoneticPr fontId="1" type="noConversion"/>
  </si>
  <si>
    <t>权重</t>
    <phoneticPr fontId="1" type="noConversion"/>
  </si>
  <si>
    <t>数值</t>
    <phoneticPr fontId="1" type="noConversion"/>
  </si>
  <si>
    <t>2x小电</t>
    <phoneticPr fontId="1" type="noConversion"/>
  </si>
  <si>
    <t>2x小血</t>
    <phoneticPr fontId="1" type="noConversion"/>
  </si>
  <si>
    <t>滋崩</t>
    <phoneticPr fontId="1" type="noConversion"/>
  </si>
  <si>
    <t>枪管改装，降低20%/40%子弹散布，降低0.01/0.02子弹下坠</t>
    <phoneticPr fontId="1" type="noConversion"/>
  </si>
  <si>
    <t>提高20%/40%瞄准速度，降低20%/40%后座力偏转角度</t>
    <phoneticPr fontId="1" type="noConversion"/>
  </si>
  <si>
    <t>降低20%/40%后坐力，单发武器降低10%/20%射击间隔</t>
    <phoneticPr fontId="1" type="noConversion"/>
  </si>
  <si>
    <t>近战DPS25，中距离DPS20，远距离DPS15</t>
    <phoneticPr fontId="1" type="noConversion"/>
  </si>
  <si>
    <t>手枪</t>
    <phoneticPr fontId="1" type="noConversion"/>
  </si>
  <si>
    <t>其它</t>
    <phoneticPr fontId="1" type="noConversion"/>
  </si>
  <si>
    <t>无衰减</t>
    <phoneticPr fontId="1" type="noConversion"/>
  </si>
  <si>
    <t>复仇女神</t>
    <phoneticPr fontId="1" type="noConversion"/>
  </si>
  <si>
    <t>四连发</t>
    <phoneticPr fontId="1" type="noConversion"/>
  </si>
  <si>
    <t>枪械名</t>
    <phoneticPr fontId="1" type="noConversion"/>
  </si>
  <si>
    <t>弹药</t>
    <phoneticPr fontId="1" type="noConversion"/>
  </si>
  <si>
    <t>弹容量</t>
    <phoneticPr fontId="1" type="noConversion"/>
  </si>
  <si>
    <t>初始</t>
    <phoneticPr fontId="1" type="noConversion"/>
  </si>
  <si>
    <t>白扩</t>
    <phoneticPr fontId="1" type="noConversion"/>
  </si>
  <si>
    <t>蓝扩</t>
    <phoneticPr fontId="1" type="noConversion"/>
  </si>
  <si>
    <t>紫扩</t>
    <phoneticPr fontId="1" type="noConversion"/>
  </si>
  <si>
    <t>RPM</t>
    <phoneticPr fontId="1" type="noConversion"/>
  </si>
  <si>
    <t>爆头伤害</t>
    <phoneticPr fontId="1" type="noConversion"/>
  </si>
  <si>
    <t>MP5A5</t>
    <phoneticPr fontId="1" type="noConversion"/>
  </si>
  <si>
    <t>9mm</t>
    <phoneticPr fontId="1" type="noConversion"/>
  </si>
  <si>
    <t>弹速
m/s</t>
    <phoneticPr fontId="1" type="noConversion"/>
  </si>
  <si>
    <t>子弹寿命
s</t>
    <phoneticPr fontId="1" type="noConversion"/>
  </si>
  <si>
    <t>弹匣</t>
    <phoneticPr fontId="1" type="noConversion"/>
  </si>
  <si>
    <t>枪口</t>
    <phoneticPr fontId="1" type="noConversion"/>
  </si>
  <si>
    <t>瞄具</t>
    <phoneticPr fontId="1" type="noConversion"/>
  </si>
  <si>
    <t>AKM</t>
    <phoneticPr fontId="1" type="noConversion"/>
  </si>
  <si>
    <t>AWM</t>
    <phoneticPr fontId="1" type="noConversion"/>
  </si>
  <si>
    <t>姿态</t>
    <phoneticPr fontId="1" type="noConversion"/>
  </si>
  <si>
    <t>散布倍率</t>
    <phoneticPr fontId="1" type="noConversion"/>
  </si>
  <si>
    <t>站立</t>
    <phoneticPr fontId="1" type="noConversion"/>
  </si>
  <si>
    <t>潜行</t>
    <phoneticPr fontId="1" type="noConversion"/>
  </si>
  <si>
    <t>趴下</t>
    <phoneticPr fontId="1" type="noConversion"/>
  </si>
  <si>
    <t>瞄准</t>
    <phoneticPr fontId="1" type="noConversion"/>
  </si>
  <si>
    <t>命中距离</t>
    <phoneticPr fontId="1" type="noConversion"/>
  </si>
  <si>
    <t>0-50%</t>
    <phoneticPr fontId="1" type="noConversion"/>
  </si>
  <si>
    <t>50%-100%</t>
    <phoneticPr fontId="1" type="noConversion"/>
  </si>
  <si>
    <t>普通枪械伤害倍率</t>
    <phoneticPr fontId="1" type="noConversion"/>
  </si>
  <si>
    <t>狙击枪伤害倍率</t>
    <phoneticPr fontId="1" type="noConversion"/>
  </si>
  <si>
    <t>移动</t>
    <phoneticPr fontId="1" type="noConversion"/>
  </si>
  <si>
    <t>DPM</t>
    <phoneticPr fontId="1" type="noConversion"/>
  </si>
  <si>
    <t>弹匣伤害</t>
    <phoneticPr fontId="1" type="noConversion"/>
  </si>
  <si>
    <t>维克托</t>
    <phoneticPr fontId="1" type="noConversion"/>
  </si>
  <si>
    <t>M4A1</t>
    <phoneticPr fontId="1" type="noConversion"/>
  </si>
  <si>
    <t>SCAR-H</t>
    <phoneticPr fontId="1" type="noConversion"/>
  </si>
  <si>
    <t>弹匣持续</t>
    <phoneticPr fontId="1" type="noConversion"/>
  </si>
  <si>
    <t>762x39</t>
    <phoneticPr fontId="1" type="noConversion"/>
  </si>
  <si>
    <t>M249</t>
    <phoneticPr fontId="1" type="noConversion"/>
  </si>
  <si>
    <t>556x45</t>
    <phoneticPr fontId="1" type="noConversion"/>
  </si>
  <si>
    <t>M95</t>
    <phoneticPr fontId="1" type="noConversion"/>
  </si>
  <si>
    <t>.50 BMG</t>
    <phoneticPr fontId="1" type="noConversion"/>
  </si>
  <si>
    <t>自带二倍镜</t>
    <phoneticPr fontId="1" type="noConversion"/>
  </si>
  <si>
    <t>格洛克</t>
    <phoneticPr fontId="1" type="noConversion"/>
  </si>
  <si>
    <t>无法安装</t>
    <phoneticPr fontId="1" type="noConversion"/>
  </si>
  <si>
    <t>45acp</t>
    <phoneticPr fontId="1" type="noConversion"/>
  </si>
  <si>
    <t>SKS</t>
    <phoneticPr fontId="1" type="noConversion"/>
  </si>
  <si>
    <t>自带4-10倍镜</t>
    <phoneticPr fontId="1" type="noConversion"/>
  </si>
  <si>
    <t>HK416</t>
    <phoneticPr fontId="1" type="noConversion"/>
  </si>
  <si>
    <t>UMP45</t>
    <phoneticPr fontId="1" type="noConversion"/>
  </si>
  <si>
    <t>AA12</t>
    <phoneticPr fontId="1" type="noConversion"/>
  </si>
  <si>
    <t>霰弹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</si>
</sst>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pane ySplit="1" topLeftCell="A2" activePane="bottomLeft" state="frozen"/>
      <selection pane="bottomLeft" activeCell="I16" sqref="I16"/>
    </sheetView>
  </sheetViews>
  <sheetFormatPr defaultColWidth="8.625" defaultRowHeight="14.25" x14ac:dyDescent="0.2"/>
  <cols>
    <col min="1" max="1" width="8.5" style="3" bestFit="1" customWidth="1"/>
    <col min="2" max="3" width="8.625" style="3"/>
    <col min="4" max="4" width="8.625" style="3" customWidth="1"/>
    <col min="5" max="16384" width="8.625" style="3"/>
  </cols>
  <sheetData>
    <row r="1" spans="1:18" x14ac:dyDescent="0.2">
      <c r="B1" s="3" t="s">
        <v>14</v>
      </c>
      <c r="C1" s="3" t="s">
        <v>15</v>
      </c>
      <c r="D1" s="3" t="s">
        <v>12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9</v>
      </c>
      <c r="K1" s="3" t="s">
        <v>10</v>
      </c>
      <c r="L1" s="3" t="s">
        <v>5</v>
      </c>
      <c r="M1" s="3" t="s">
        <v>11</v>
      </c>
      <c r="N1" s="3" t="s">
        <v>71</v>
      </c>
      <c r="O1" s="3" t="s">
        <v>19</v>
      </c>
      <c r="P1" s="3" t="s">
        <v>23</v>
      </c>
      <c r="Q1" s="3" t="s">
        <v>22</v>
      </c>
      <c r="R1" s="3" t="s">
        <v>24</v>
      </c>
    </row>
    <row r="2" spans="1:18" x14ac:dyDescent="0.2">
      <c r="A2" s="3" t="s">
        <v>43</v>
      </c>
      <c r="B2" s="3" t="s">
        <v>17</v>
      </c>
      <c r="C2" s="3">
        <v>1</v>
      </c>
      <c r="D2" s="3">
        <v>10</v>
      </c>
      <c r="E2" s="3">
        <v>8</v>
      </c>
      <c r="F2" s="3">
        <v>2</v>
      </c>
      <c r="G2" s="3">
        <v>3.33</v>
      </c>
      <c r="H2" s="3">
        <v>12.5</v>
      </c>
      <c r="I2" s="3">
        <v>12.5</v>
      </c>
      <c r="J2" s="3">
        <v>5</v>
      </c>
      <c r="K2" s="3">
        <v>5</v>
      </c>
      <c r="L2" s="3">
        <f t="shared" ref="L2:L7" si="0">J2*K2</f>
        <v>25</v>
      </c>
      <c r="M2" s="3">
        <f t="shared" ref="M2:M7" si="1">20/D2*I2</f>
        <v>25</v>
      </c>
      <c r="O2" s="3">
        <v>1</v>
      </c>
      <c r="P2" s="3">
        <v>1</v>
      </c>
      <c r="Q2" s="3">
        <v>1</v>
      </c>
    </row>
    <row r="3" spans="1:18" x14ac:dyDescent="0.2">
      <c r="A3" s="3" t="s">
        <v>6</v>
      </c>
      <c r="B3" s="3" t="s">
        <v>16</v>
      </c>
      <c r="C3" s="3">
        <v>1</v>
      </c>
      <c r="D3" s="3">
        <v>2</v>
      </c>
      <c r="E3" s="3">
        <v>30</v>
      </c>
      <c r="F3" s="3">
        <v>6</v>
      </c>
      <c r="G3" s="3">
        <v>2</v>
      </c>
      <c r="H3" s="3">
        <v>2.5</v>
      </c>
      <c r="I3" s="3">
        <v>2.5</v>
      </c>
      <c r="J3" s="3">
        <v>5</v>
      </c>
      <c r="K3" s="3">
        <v>5</v>
      </c>
      <c r="L3" s="3">
        <f t="shared" si="0"/>
        <v>25</v>
      </c>
      <c r="M3" s="3">
        <f t="shared" si="1"/>
        <v>25</v>
      </c>
      <c r="O3" s="3">
        <v>1</v>
      </c>
      <c r="P3" s="3">
        <v>1</v>
      </c>
      <c r="Q3" s="3">
        <v>1</v>
      </c>
    </row>
    <row r="4" spans="1:18" x14ac:dyDescent="0.2">
      <c r="A4" s="3" t="s">
        <v>70</v>
      </c>
      <c r="C4" s="3" t="s">
        <v>32</v>
      </c>
      <c r="D4" s="3">
        <v>1</v>
      </c>
      <c r="E4" s="3">
        <v>150</v>
      </c>
      <c r="G4" s="3">
        <v>1</v>
      </c>
      <c r="H4" s="3">
        <v>2.5</v>
      </c>
      <c r="I4" s="3">
        <v>1.25</v>
      </c>
      <c r="J4" s="3">
        <v>5</v>
      </c>
      <c r="K4" s="3">
        <v>5</v>
      </c>
      <c r="L4" s="3">
        <f t="shared" si="0"/>
        <v>25</v>
      </c>
      <c r="M4" s="3">
        <f t="shared" si="1"/>
        <v>25</v>
      </c>
    </row>
    <row r="5" spans="1:18" x14ac:dyDescent="0.2">
      <c r="A5" s="3" t="s">
        <v>13</v>
      </c>
      <c r="B5" s="3" t="s">
        <v>16</v>
      </c>
      <c r="C5" s="3">
        <v>1</v>
      </c>
      <c r="D5" s="3">
        <v>3</v>
      </c>
      <c r="E5" s="3">
        <v>30</v>
      </c>
      <c r="F5" s="3">
        <v>6</v>
      </c>
      <c r="G5" s="3">
        <v>3</v>
      </c>
      <c r="H5" s="3">
        <v>5</v>
      </c>
      <c r="I5" s="3">
        <v>3</v>
      </c>
      <c r="J5" s="3">
        <v>8</v>
      </c>
      <c r="K5" s="3">
        <v>8</v>
      </c>
      <c r="L5" s="3">
        <f t="shared" si="0"/>
        <v>64</v>
      </c>
      <c r="M5" s="3">
        <f t="shared" si="1"/>
        <v>20</v>
      </c>
      <c r="O5" s="3">
        <v>1</v>
      </c>
      <c r="P5" s="3">
        <v>1</v>
      </c>
      <c r="Q5" s="3">
        <v>1</v>
      </c>
      <c r="R5" s="3">
        <v>1</v>
      </c>
    </row>
    <row r="6" spans="1:18" x14ac:dyDescent="0.2">
      <c r="A6" s="3" t="s">
        <v>73</v>
      </c>
      <c r="B6" s="3" t="s">
        <v>16</v>
      </c>
      <c r="C6" s="3">
        <v>1</v>
      </c>
      <c r="D6" s="3">
        <v>12</v>
      </c>
      <c r="E6" s="3">
        <v>32</v>
      </c>
      <c r="F6" s="3">
        <v>8</v>
      </c>
      <c r="G6" s="3">
        <v>3</v>
      </c>
      <c r="H6" s="3">
        <v>5</v>
      </c>
      <c r="I6" s="3">
        <v>12</v>
      </c>
      <c r="J6" s="3">
        <v>8</v>
      </c>
      <c r="K6" s="3">
        <v>8</v>
      </c>
      <c r="L6" s="3">
        <f t="shared" si="0"/>
        <v>64</v>
      </c>
      <c r="M6" s="3">
        <f t="shared" si="1"/>
        <v>20</v>
      </c>
      <c r="N6" s="3" t="s">
        <v>74</v>
      </c>
      <c r="O6" s="3">
        <v>1</v>
      </c>
      <c r="P6" s="3">
        <v>1</v>
      </c>
      <c r="Q6" s="3">
        <v>1</v>
      </c>
      <c r="R6" s="3">
        <v>1</v>
      </c>
    </row>
    <row r="7" spans="1:18" x14ac:dyDescent="0.2">
      <c r="A7" s="3" t="s">
        <v>31</v>
      </c>
      <c r="C7" s="3" t="s">
        <v>32</v>
      </c>
      <c r="D7" s="3">
        <v>2</v>
      </c>
      <c r="E7" s="3">
        <v>100</v>
      </c>
      <c r="G7" s="3">
        <v>1</v>
      </c>
      <c r="H7" s="3">
        <v>0.5</v>
      </c>
      <c r="I7" s="3">
        <v>2</v>
      </c>
      <c r="J7" s="3">
        <v>8</v>
      </c>
      <c r="K7" s="3">
        <v>8</v>
      </c>
      <c r="L7" s="3">
        <f t="shared" si="0"/>
        <v>64</v>
      </c>
      <c r="M7" s="3">
        <f t="shared" si="1"/>
        <v>20</v>
      </c>
    </row>
    <row r="8" spans="1:18" x14ac:dyDescent="0.2">
      <c r="A8" s="3" t="s">
        <v>7</v>
      </c>
      <c r="B8" s="3" t="s">
        <v>17</v>
      </c>
      <c r="C8" s="3">
        <v>1</v>
      </c>
      <c r="D8" s="3">
        <v>18</v>
      </c>
      <c r="E8" s="3">
        <v>12</v>
      </c>
      <c r="F8" s="3">
        <v>3</v>
      </c>
      <c r="G8" s="3">
        <v>6</v>
      </c>
      <c r="H8" s="3">
        <v>10</v>
      </c>
      <c r="I8" s="3">
        <v>9</v>
      </c>
      <c r="J8" s="3">
        <v>10</v>
      </c>
      <c r="K8" s="3">
        <v>10</v>
      </c>
      <c r="L8" s="3">
        <f t="shared" ref="L8:L9" si="2">J8*K8</f>
        <v>100</v>
      </c>
      <c r="M8" s="3">
        <f t="shared" ref="M8:M10" si="3">20/D8*I8</f>
        <v>10</v>
      </c>
      <c r="N8" s="3" t="s">
        <v>72</v>
      </c>
      <c r="O8" s="3">
        <v>1</v>
      </c>
      <c r="P8" s="3">
        <v>1</v>
      </c>
      <c r="Q8" s="3">
        <v>1</v>
      </c>
      <c r="R8" s="3">
        <v>1</v>
      </c>
    </row>
    <row r="9" spans="1:18" x14ac:dyDescent="0.2">
      <c r="A9" s="3" t="s">
        <v>8</v>
      </c>
      <c r="B9" s="3" t="s">
        <v>17</v>
      </c>
      <c r="C9" s="3">
        <v>1</v>
      </c>
      <c r="D9" s="3">
        <v>24</v>
      </c>
      <c r="E9" s="3">
        <v>4</v>
      </c>
      <c r="F9" s="3">
        <v>1</v>
      </c>
      <c r="G9" s="3">
        <v>8</v>
      </c>
      <c r="H9" s="3">
        <v>10</v>
      </c>
      <c r="I9" s="3">
        <v>12</v>
      </c>
      <c r="J9" s="3">
        <v>10</v>
      </c>
      <c r="K9" s="3">
        <v>10</v>
      </c>
      <c r="L9" s="3">
        <f t="shared" si="2"/>
        <v>100</v>
      </c>
      <c r="M9" s="3">
        <f t="shared" si="3"/>
        <v>10</v>
      </c>
      <c r="N9" s="3" t="s">
        <v>72</v>
      </c>
      <c r="O9" s="3">
        <v>1</v>
      </c>
      <c r="P9" s="3">
        <v>1</v>
      </c>
      <c r="Q9" s="3">
        <v>1</v>
      </c>
      <c r="R9" s="3">
        <v>1</v>
      </c>
    </row>
    <row r="10" spans="1:18" x14ac:dyDescent="0.2">
      <c r="A10" s="3" t="s">
        <v>65</v>
      </c>
      <c r="C10" s="3" t="s">
        <v>32</v>
      </c>
      <c r="D10" s="3">
        <v>36</v>
      </c>
      <c r="E10" s="3">
        <v>12</v>
      </c>
      <c r="G10" s="3">
        <v>0</v>
      </c>
      <c r="H10" s="3">
        <v>0</v>
      </c>
      <c r="I10" s="3">
        <v>18</v>
      </c>
      <c r="J10" s="3">
        <v>10</v>
      </c>
      <c r="K10" s="3">
        <v>10</v>
      </c>
      <c r="L10" s="3">
        <f>J10*K10</f>
        <v>100</v>
      </c>
      <c r="M10" s="3">
        <f t="shared" si="3"/>
        <v>10</v>
      </c>
      <c r="N10" s="3" t="s">
        <v>72</v>
      </c>
    </row>
    <row r="11" spans="1:18" x14ac:dyDescent="0.2">
      <c r="O11" s="3">
        <v>6</v>
      </c>
      <c r="P11" s="3">
        <v>6</v>
      </c>
      <c r="Q11" s="3">
        <v>6</v>
      </c>
      <c r="R11" s="3">
        <v>4</v>
      </c>
    </row>
    <row r="12" spans="1:18" x14ac:dyDescent="0.2">
      <c r="A12" s="3" t="s">
        <v>18</v>
      </c>
      <c r="B12" s="3" t="s">
        <v>15</v>
      </c>
      <c r="C12" s="4" t="s">
        <v>25</v>
      </c>
      <c r="I12" s="4" t="s">
        <v>69</v>
      </c>
    </row>
    <row r="13" spans="1:18" x14ac:dyDescent="0.2">
      <c r="A13" s="3" t="s">
        <v>19</v>
      </c>
      <c r="B13" s="5" t="s">
        <v>29</v>
      </c>
      <c r="C13" s="4" t="s">
        <v>26</v>
      </c>
      <c r="I13" s="4" t="s">
        <v>44</v>
      </c>
    </row>
    <row r="14" spans="1:18" x14ac:dyDescent="0.2">
      <c r="A14" s="3" t="s">
        <v>20</v>
      </c>
      <c r="B14" s="3" t="s">
        <v>28</v>
      </c>
      <c r="C14" s="4" t="s">
        <v>66</v>
      </c>
      <c r="I14" s="4" t="s">
        <v>45</v>
      </c>
    </row>
    <row r="15" spans="1:18" x14ac:dyDescent="0.2">
      <c r="A15" s="3" t="s">
        <v>21</v>
      </c>
      <c r="B15" s="3" t="s">
        <v>27</v>
      </c>
      <c r="C15" s="4" t="s">
        <v>67</v>
      </c>
      <c r="I15" s="4" t="s">
        <v>51</v>
      </c>
    </row>
    <row r="16" spans="1:18" x14ac:dyDescent="0.2">
      <c r="A16" s="3" t="s">
        <v>22</v>
      </c>
      <c r="B16" s="3" t="s">
        <v>28</v>
      </c>
      <c r="C16" s="4" t="s">
        <v>68</v>
      </c>
      <c r="I16" s="4" t="s">
        <v>54</v>
      </c>
      <c r="J16" s="3">
        <v>0.1</v>
      </c>
      <c r="K16" s="3" t="s">
        <v>55</v>
      </c>
      <c r="L16" s="3">
        <v>0.1</v>
      </c>
    </row>
    <row r="17" spans="1:15" x14ac:dyDescent="0.2">
      <c r="A17" s="4" t="s">
        <v>30</v>
      </c>
    </row>
    <row r="19" spans="1:15" x14ac:dyDescent="0.2">
      <c r="A19" s="10" t="s">
        <v>48</v>
      </c>
      <c r="B19" s="10" t="s">
        <v>46</v>
      </c>
      <c r="C19" s="10" t="s">
        <v>47</v>
      </c>
      <c r="D19" s="9" t="s">
        <v>49</v>
      </c>
      <c r="E19" s="9"/>
      <c r="F19" s="10" t="s">
        <v>50</v>
      </c>
      <c r="G19" s="10"/>
      <c r="J19" s="3" t="s">
        <v>63</v>
      </c>
      <c r="K19" s="3" t="s">
        <v>64</v>
      </c>
      <c r="L19" s="3" t="s">
        <v>57</v>
      </c>
      <c r="M19" s="3" t="s">
        <v>58</v>
      </c>
      <c r="N19" s="3" t="s">
        <v>59</v>
      </c>
      <c r="O19" s="3" t="s">
        <v>60</v>
      </c>
    </row>
    <row r="20" spans="1:15" x14ac:dyDescent="0.2">
      <c r="A20" s="10"/>
      <c r="B20" s="10"/>
      <c r="C20" s="10"/>
      <c r="D20" s="3" t="s">
        <v>52</v>
      </c>
      <c r="E20" s="3" t="s">
        <v>53</v>
      </c>
      <c r="F20" s="3" t="s">
        <v>52</v>
      </c>
      <c r="G20" s="3" t="s">
        <v>53</v>
      </c>
      <c r="I20" s="3" t="s">
        <v>61</v>
      </c>
      <c r="J20" s="3">
        <v>10</v>
      </c>
      <c r="K20" s="3">
        <v>5</v>
      </c>
      <c r="L20" s="3">
        <v>4</v>
      </c>
      <c r="M20" s="3">
        <v>2</v>
      </c>
      <c r="N20" s="3">
        <v>1</v>
      </c>
      <c r="O20" s="3">
        <v>5</v>
      </c>
    </row>
    <row r="21" spans="1:15" x14ac:dyDescent="0.2">
      <c r="A21" s="3" t="s">
        <v>43</v>
      </c>
      <c r="B21" s="6">
        <f>H2</f>
        <v>12.5</v>
      </c>
      <c r="C21" s="6">
        <f>B21/2</f>
        <v>6.25</v>
      </c>
      <c r="D21" s="9" t="s">
        <v>56</v>
      </c>
      <c r="E21" s="9"/>
      <c r="F21" s="9"/>
      <c r="G21" s="9"/>
      <c r="I21" s="3" t="s">
        <v>62</v>
      </c>
      <c r="J21" s="3">
        <v>8</v>
      </c>
      <c r="K21" s="3">
        <v>8</v>
      </c>
      <c r="L21" s="3">
        <v>20</v>
      </c>
      <c r="M21" s="3">
        <v>20</v>
      </c>
      <c r="N21" s="3">
        <v>40</v>
      </c>
      <c r="O21" s="3">
        <v>8</v>
      </c>
    </row>
    <row r="22" spans="1:15" x14ac:dyDescent="0.2">
      <c r="A22" s="3" t="s">
        <v>6</v>
      </c>
      <c r="B22" s="6">
        <f>H3</f>
        <v>2.5</v>
      </c>
      <c r="C22" s="6">
        <f t="shared" ref="C22:C26" si="4">B22/2</f>
        <v>1.25</v>
      </c>
      <c r="D22" s="3">
        <f t="shared" ref="D22:D26" si="5">E22*0.6</f>
        <v>1.5</v>
      </c>
      <c r="E22" s="3">
        <f>L3*$J$16</f>
        <v>2.5</v>
      </c>
      <c r="F22" s="3">
        <f>D22*$L$16</f>
        <v>0.15000000000000002</v>
      </c>
      <c r="G22" s="3">
        <f>E22*$L$16</f>
        <v>0.25</v>
      </c>
      <c r="J22" s="3">
        <f>J20*J21</f>
        <v>80</v>
      </c>
      <c r="K22" s="3">
        <f t="shared" ref="K22:O22" si="6">K20*K21</f>
        <v>40</v>
      </c>
      <c r="L22" s="3">
        <f t="shared" si="6"/>
        <v>80</v>
      </c>
      <c r="M22" s="3">
        <f t="shared" si="6"/>
        <v>40</v>
      </c>
      <c r="N22" s="3">
        <f t="shared" si="6"/>
        <v>40</v>
      </c>
      <c r="O22" s="3">
        <f t="shared" si="6"/>
        <v>40</v>
      </c>
    </row>
    <row r="23" spans="1:15" x14ac:dyDescent="0.2">
      <c r="A23" s="3" t="s">
        <v>13</v>
      </c>
      <c r="B23" s="6">
        <f>H5</f>
        <v>5</v>
      </c>
      <c r="C23" s="6">
        <f t="shared" si="4"/>
        <v>2.5</v>
      </c>
      <c r="D23" s="3">
        <f t="shared" si="5"/>
        <v>3.84</v>
      </c>
      <c r="E23" s="3">
        <f>L5*$J$16</f>
        <v>6.4</v>
      </c>
      <c r="F23" s="3">
        <f>D23*$L$16</f>
        <v>0.38400000000000001</v>
      </c>
      <c r="G23" s="3">
        <f>E23*$L$16</f>
        <v>0.64000000000000012</v>
      </c>
    </row>
    <row r="24" spans="1:15" x14ac:dyDescent="0.2">
      <c r="A24" s="3" t="s">
        <v>31</v>
      </c>
      <c r="B24" s="6">
        <f t="shared" ref="B24:B26" si="7">H7</f>
        <v>0.5</v>
      </c>
      <c r="C24" s="6"/>
      <c r="D24" s="3">
        <f t="shared" si="5"/>
        <v>0.6</v>
      </c>
      <c r="E24" s="3">
        <v>1</v>
      </c>
    </row>
    <row r="25" spans="1:15" x14ac:dyDescent="0.2">
      <c r="A25" s="3" t="s">
        <v>7</v>
      </c>
      <c r="B25" s="6">
        <f t="shared" si="7"/>
        <v>10</v>
      </c>
      <c r="C25" s="6">
        <f t="shared" si="4"/>
        <v>5</v>
      </c>
      <c r="D25" s="3">
        <f t="shared" si="5"/>
        <v>6</v>
      </c>
      <c r="E25" s="3">
        <f>L8*$J$16</f>
        <v>10</v>
      </c>
      <c r="F25" s="3">
        <f>D25*$L$16</f>
        <v>0.60000000000000009</v>
      </c>
      <c r="G25" s="3">
        <f>E25*$L$16</f>
        <v>1</v>
      </c>
    </row>
    <row r="26" spans="1:15" x14ac:dyDescent="0.2">
      <c r="A26" s="3" t="s">
        <v>8</v>
      </c>
      <c r="B26" s="6">
        <f t="shared" si="7"/>
        <v>10</v>
      </c>
      <c r="C26" s="6">
        <f t="shared" si="4"/>
        <v>5</v>
      </c>
      <c r="D26" s="3">
        <f t="shared" si="5"/>
        <v>6</v>
      </c>
      <c r="E26" s="3">
        <f>L9*$J$16</f>
        <v>10</v>
      </c>
      <c r="F26" s="3">
        <f>D26*$L$16</f>
        <v>0.60000000000000009</v>
      </c>
      <c r="G26" s="3">
        <f>E26*$L$16</f>
        <v>1</v>
      </c>
    </row>
    <row r="27" spans="1:15" x14ac:dyDescent="0.2">
      <c r="B27" s="6"/>
      <c r="C27" s="6"/>
    </row>
  </sheetData>
  <mergeCells count="6">
    <mergeCell ref="D21:G21"/>
    <mergeCell ref="D19:E19"/>
    <mergeCell ref="A19:A20"/>
    <mergeCell ref="B19:B20"/>
    <mergeCell ref="C19:C20"/>
    <mergeCell ref="F19:G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5047-285E-45CE-A511-9B7B3BC6DB84}">
  <dimension ref="A1:L21"/>
  <sheetViews>
    <sheetView workbookViewId="0">
      <selection activeCell="K18" sqref="K18"/>
    </sheetView>
  </sheetViews>
  <sheetFormatPr defaultColWidth="8.625" defaultRowHeight="14.25" x14ac:dyDescent="0.2"/>
  <cols>
    <col min="1" max="1" width="10.625" style="1" customWidth="1"/>
    <col min="2" max="16384" width="8.625" style="1"/>
  </cols>
  <sheetData>
    <row r="1" spans="1:12" x14ac:dyDescent="0.2">
      <c r="A1" s="1" t="s">
        <v>33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</row>
    <row r="2" spans="1:12" x14ac:dyDescent="0.2">
      <c r="A2" s="1">
        <v>1</v>
      </c>
      <c r="B2" s="1">
        <v>2</v>
      </c>
      <c r="C2" s="1">
        <v>2</v>
      </c>
      <c r="D2" s="1">
        <v>4</v>
      </c>
      <c r="E2" s="1">
        <v>4</v>
      </c>
      <c r="F2" s="1">
        <v>6</v>
      </c>
      <c r="G2" s="1">
        <v>6</v>
      </c>
      <c r="H2" s="1">
        <v>8</v>
      </c>
      <c r="I2" s="1">
        <v>8</v>
      </c>
      <c r="J2" s="1">
        <v>10</v>
      </c>
      <c r="K2" s="1">
        <v>10</v>
      </c>
      <c r="L2" s="1">
        <v>12</v>
      </c>
    </row>
    <row r="3" spans="1:12" x14ac:dyDescent="0.2">
      <c r="A3" s="1">
        <v>2</v>
      </c>
      <c r="D3" s="1">
        <v>2</v>
      </c>
      <c r="E3" s="1">
        <v>2</v>
      </c>
      <c r="F3" s="1">
        <v>4</v>
      </c>
      <c r="G3" s="1">
        <v>4</v>
      </c>
      <c r="H3" s="1">
        <v>6</v>
      </c>
      <c r="I3" s="1">
        <v>6</v>
      </c>
      <c r="J3" s="1">
        <v>8</v>
      </c>
      <c r="K3" s="1">
        <v>8</v>
      </c>
      <c r="L3" s="1">
        <v>10</v>
      </c>
    </row>
    <row r="4" spans="1:12" x14ac:dyDescent="0.2">
      <c r="A4" s="1">
        <v>3</v>
      </c>
      <c r="F4" s="1">
        <v>2</v>
      </c>
      <c r="G4" s="1">
        <v>2</v>
      </c>
      <c r="H4" s="1">
        <v>4</v>
      </c>
      <c r="I4" s="1">
        <v>4</v>
      </c>
      <c r="J4" s="1">
        <v>6</v>
      </c>
      <c r="K4" s="1">
        <v>6</v>
      </c>
      <c r="L4" s="1">
        <v>8</v>
      </c>
    </row>
    <row r="5" spans="1:12" x14ac:dyDescent="0.2">
      <c r="A5" s="1">
        <v>4</v>
      </c>
      <c r="H5" s="1">
        <v>2</v>
      </c>
      <c r="I5" s="1">
        <v>2</v>
      </c>
      <c r="J5" s="1">
        <v>4</v>
      </c>
      <c r="K5" s="1">
        <v>4</v>
      </c>
      <c r="L5" s="1">
        <v>6</v>
      </c>
    </row>
    <row r="6" spans="1:12" x14ac:dyDescent="0.2">
      <c r="A6" s="1">
        <v>5</v>
      </c>
      <c r="J6" s="1">
        <v>2</v>
      </c>
      <c r="K6" s="1">
        <v>2</v>
      </c>
      <c r="L6" s="1">
        <v>4</v>
      </c>
    </row>
    <row r="7" spans="1:12" x14ac:dyDescent="0.2">
      <c r="A7" s="1">
        <v>6</v>
      </c>
      <c r="L7" s="1">
        <v>2</v>
      </c>
    </row>
    <row r="8" spans="1:12" x14ac:dyDescent="0.2">
      <c r="A8" s="1">
        <v>7</v>
      </c>
    </row>
    <row r="9" spans="1:12" x14ac:dyDescent="0.2">
      <c r="A9" s="1">
        <v>8</v>
      </c>
    </row>
    <row r="10" spans="1:12" x14ac:dyDescent="0.2">
      <c r="A10" s="1">
        <v>9</v>
      </c>
    </row>
    <row r="11" spans="1:12" x14ac:dyDescent="0.2">
      <c r="A11" s="1">
        <v>10</v>
      </c>
    </row>
    <row r="12" spans="1:12" x14ac:dyDescent="0.2">
      <c r="A12" s="1">
        <v>11</v>
      </c>
    </row>
    <row r="13" spans="1:12" x14ac:dyDescent="0.2">
      <c r="A13" s="1">
        <v>12</v>
      </c>
    </row>
    <row r="15" spans="1:12" x14ac:dyDescent="0.2">
      <c r="A15" s="1" t="s">
        <v>37</v>
      </c>
      <c r="B15" s="1" t="s">
        <v>41</v>
      </c>
      <c r="D15" s="1" t="s">
        <v>42</v>
      </c>
    </row>
    <row r="16" spans="1:12" x14ac:dyDescent="0.2">
      <c r="A16" s="2" t="s">
        <v>34</v>
      </c>
      <c r="B16" s="1">
        <v>-5</v>
      </c>
    </row>
    <row r="17" spans="1:2" x14ac:dyDescent="0.2">
      <c r="A17" s="2" t="s">
        <v>35</v>
      </c>
      <c r="B17" s="1">
        <v>-4</v>
      </c>
    </row>
    <row r="18" spans="1:2" x14ac:dyDescent="0.2">
      <c r="A18" s="2" t="s">
        <v>36</v>
      </c>
      <c r="B18" s="1">
        <v>-3</v>
      </c>
    </row>
    <row r="19" spans="1:2" x14ac:dyDescent="0.2">
      <c r="A19" s="2" t="s">
        <v>38</v>
      </c>
      <c r="B19" s="1">
        <v>-2</v>
      </c>
    </row>
    <row r="20" spans="1:2" x14ac:dyDescent="0.2">
      <c r="A20" s="2" t="s">
        <v>39</v>
      </c>
      <c r="B20" s="1">
        <v>-1</v>
      </c>
    </row>
    <row r="21" spans="1:2" x14ac:dyDescent="0.2">
      <c r="A21" s="2" t="s">
        <v>40</v>
      </c>
      <c r="B21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9524-204D-407E-907D-88382DE78B98}">
  <dimension ref="A1:Z22"/>
  <sheetViews>
    <sheetView tabSelected="1" zoomScaleNormal="100" workbookViewId="0">
      <selection activeCell="K21" sqref="K21"/>
    </sheetView>
  </sheetViews>
  <sheetFormatPr defaultColWidth="8.625" defaultRowHeight="14.25" x14ac:dyDescent="0.2"/>
  <cols>
    <col min="1" max="16384" width="8.625" style="7"/>
  </cols>
  <sheetData>
    <row r="1" spans="1:26" x14ac:dyDescent="0.2">
      <c r="A1" s="11" t="s">
        <v>75</v>
      </c>
      <c r="B1" s="11" t="s">
        <v>76</v>
      </c>
      <c r="C1" s="11" t="s">
        <v>77</v>
      </c>
      <c r="D1" s="11"/>
      <c r="E1" s="11"/>
      <c r="F1" s="11"/>
      <c r="G1" s="11" t="s">
        <v>82</v>
      </c>
      <c r="H1" s="12" t="s">
        <v>87</v>
      </c>
      <c r="I1" s="11" t="s">
        <v>4</v>
      </c>
      <c r="J1" s="11" t="s">
        <v>83</v>
      </c>
      <c r="K1" s="12" t="s">
        <v>86</v>
      </c>
      <c r="L1" s="11" t="s">
        <v>2</v>
      </c>
      <c r="M1" s="11" t="s">
        <v>3</v>
      </c>
      <c r="N1" s="11" t="s">
        <v>18</v>
      </c>
      <c r="O1" s="11"/>
      <c r="P1" s="11"/>
      <c r="Q1" s="11"/>
      <c r="R1" s="11" t="s">
        <v>105</v>
      </c>
      <c r="S1" s="11" t="s">
        <v>106</v>
      </c>
      <c r="T1" s="11"/>
      <c r="U1" s="11"/>
      <c r="V1" s="11"/>
      <c r="W1" s="13" t="s">
        <v>110</v>
      </c>
      <c r="X1" s="13"/>
      <c r="Y1" s="13"/>
      <c r="Z1" s="13"/>
    </row>
    <row r="2" spans="1:26" x14ac:dyDescent="0.2">
      <c r="A2" s="11"/>
      <c r="B2" s="11"/>
      <c r="C2" s="14" t="s">
        <v>78</v>
      </c>
      <c r="D2" s="14" t="s">
        <v>79</v>
      </c>
      <c r="E2" s="14" t="s">
        <v>80</v>
      </c>
      <c r="F2" s="14" t="s">
        <v>81</v>
      </c>
      <c r="G2" s="11"/>
      <c r="H2" s="11"/>
      <c r="I2" s="11"/>
      <c r="J2" s="11"/>
      <c r="K2" s="11"/>
      <c r="L2" s="11"/>
      <c r="M2" s="11"/>
      <c r="N2" s="14" t="s">
        <v>88</v>
      </c>
      <c r="O2" s="14" t="s">
        <v>22</v>
      </c>
      <c r="P2" s="14" t="s">
        <v>89</v>
      </c>
      <c r="Q2" s="14" t="s">
        <v>90</v>
      </c>
      <c r="R2" s="11"/>
      <c r="S2" s="14" t="s">
        <v>78</v>
      </c>
      <c r="T2" s="14" t="s">
        <v>79</v>
      </c>
      <c r="U2" s="14" t="s">
        <v>80</v>
      </c>
      <c r="V2" s="14" t="s">
        <v>81</v>
      </c>
      <c r="W2" s="15" t="s">
        <v>78</v>
      </c>
      <c r="X2" s="15" t="s">
        <v>79</v>
      </c>
      <c r="Y2" s="15" t="s">
        <v>80</v>
      </c>
      <c r="Z2" s="15" t="s">
        <v>81</v>
      </c>
    </row>
    <row r="3" spans="1:26" x14ac:dyDescent="0.2">
      <c r="A3" s="14" t="s">
        <v>84</v>
      </c>
      <c r="B3" s="11" t="s">
        <v>85</v>
      </c>
      <c r="C3" s="14">
        <v>21</v>
      </c>
      <c r="D3" s="14">
        <v>24</v>
      </c>
      <c r="E3" s="14">
        <v>27</v>
      </c>
      <c r="F3" s="14">
        <v>30</v>
      </c>
      <c r="G3" s="14">
        <v>750</v>
      </c>
      <c r="H3" s="11">
        <v>0.3</v>
      </c>
      <c r="I3" s="14">
        <v>2</v>
      </c>
      <c r="J3" s="11">
        <v>1.1499999999999999</v>
      </c>
      <c r="K3" s="11">
        <v>120</v>
      </c>
      <c r="L3" s="15">
        <f>120/G3</f>
        <v>0.16</v>
      </c>
      <c r="M3" s="11">
        <v>2.5</v>
      </c>
      <c r="N3" s="14">
        <v>1</v>
      </c>
      <c r="O3" s="14">
        <v>1</v>
      </c>
      <c r="P3" s="14">
        <v>1</v>
      </c>
      <c r="Q3" s="14">
        <v>1</v>
      </c>
      <c r="R3" s="14">
        <f>G3*I3</f>
        <v>1500</v>
      </c>
      <c r="S3" s="14">
        <f>C3*$I3</f>
        <v>42</v>
      </c>
      <c r="T3" s="14">
        <f t="shared" ref="T3:V3" si="0">D3*$I3</f>
        <v>48</v>
      </c>
      <c r="U3" s="14">
        <f t="shared" si="0"/>
        <v>54</v>
      </c>
      <c r="V3" s="14">
        <f t="shared" si="0"/>
        <v>60</v>
      </c>
      <c r="W3" s="15">
        <f>C3/$G3*60</f>
        <v>1.68</v>
      </c>
      <c r="X3" s="15">
        <f t="shared" ref="X3:Z3" si="1">D3/$G3*60</f>
        <v>1.92</v>
      </c>
      <c r="Y3" s="15">
        <f t="shared" si="1"/>
        <v>2.1599999999999997</v>
      </c>
      <c r="Z3" s="15">
        <f t="shared" si="1"/>
        <v>2.4</v>
      </c>
    </row>
    <row r="4" spans="1:26" s="8" customFormat="1" x14ac:dyDescent="0.2">
      <c r="A4" s="14" t="s">
        <v>123</v>
      </c>
      <c r="B4" s="11"/>
      <c r="C4" s="14">
        <v>24</v>
      </c>
      <c r="D4" s="14">
        <v>27</v>
      </c>
      <c r="E4" s="14">
        <v>30</v>
      </c>
      <c r="F4" s="14">
        <v>33</v>
      </c>
      <c r="G4" s="14">
        <v>834</v>
      </c>
      <c r="H4" s="11"/>
      <c r="I4" s="14">
        <v>1.8</v>
      </c>
      <c r="J4" s="11"/>
      <c r="K4" s="11"/>
      <c r="L4" s="15">
        <f t="shared" ref="L4:L11" si="2">120/G4</f>
        <v>0.14388489208633093</v>
      </c>
      <c r="M4" s="11"/>
      <c r="N4" s="14">
        <v>1</v>
      </c>
      <c r="O4" s="14">
        <v>1</v>
      </c>
      <c r="P4" s="14">
        <v>1</v>
      </c>
      <c r="Q4" s="14">
        <v>1</v>
      </c>
      <c r="R4" s="14">
        <f>G4*I4</f>
        <v>1501.2</v>
      </c>
      <c r="S4" s="14">
        <f>C4*$I4</f>
        <v>43.2</v>
      </c>
      <c r="T4" s="14">
        <f t="shared" ref="T4" si="3">D4*$I4</f>
        <v>48.6</v>
      </c>
      <c r="U4" s="14">
        <f t="shared" ref="U4" si="4">E4*$I4</f>
        <v>54</v>
      </c>
      <c r="V4" s="14">
        <f t="shared" ref="V4" si="5">F4*$I4</f>
        <v>59.4</v>
      </c>
      <c r="W4" s="15">
        <f>C4/$G4*60</f>
        <v>1.7266187050359714</v>
      </c>
      <c r="X4" s="15">
        <f t="shared" ref="X4" si="6">D4/$G4*60</f>
        <v>1.9424460431654675</v>
      </c>
      <c r="Y4" s="15">
        <f t="shared" ref="Y4" si="7">E4/$G4*60</f>
        <v>2.1582733812949639</v>
      </c>
      <c r="Z4" s="15">
        <f t="shared" ref="Z4" si="8">F4/$G4*60</f>
        <v>2.3741007194244603</v>
      </c>
    </row>
    <row r="5" spans="1:26" x14ac:dyDescent="0.2">
      <c r="A5" s="14" t="s">
        <v>107</v>
      </c>
      <c r="B5" s="11"/>
      <c r="C5" s="14">
        <v>28</v>
      </c>
      <c r="D5" s="14">
        <v>32</v>
      </c>
      <c r="E5" s="14">
        <v>36</v>
      </c>
      <c r="F5" s="14">
        <v>40</v>
      </c>
      <c r="G5" s="14">
        <v>1000</v>
      </c>
      <c r="H5" s="11"/>
      <c r="I5" s="14">
        <v>1.5</v>
      </c>
      <c r="J5" s="11"/>
      <c r="K5" s="11"/>
      <c r="L5" s="15">
        <f t="shared" si="2"/>
        <v>0.12</v>
      </c>
      <c r="M5" s="11"/>
      <c r="N5" s="14">
        <v>1</v>
      </c>
      <c r="O5" s="14">
        <v>1</v>
      </c>
      <c r="P5" s="14">
        <v>1</v>
      </c>
      <c r="Q5" s="14">
        <v>1</v>
      </c>
      <c r="R5" s="14">
        <f t="shared" ref="R5:R15" si="9">G5*I5</f>
        <v>1500</v>
      </c>
      <c r="S5" s="14">
        <f t="shared" ref="S5:S13" si="10">C5*$I5</f>
        <v>42</v>
      </c>
      <c r="T5" s="14">
        <f t="shared" ref="T5:T13" si="11">D5*$I5</f>
        <v>48</v>
      </c>
      <c r="U5" s="14">
        <f t="shared" ref="U5:U13" si="12">E5*$I5</f>
        <v>54</v>
      </c>
      <c r="V5" s="14">
        <f t="shared" ref="V5:V13" si="13">F5*$I5</f>
        <v>60</v>
      </c>
      <c r="W5" s="15">
        <f t="shared" ref="W5:W13" si="14">C5/$G5*60</f>
        <v>1.68</v>
      </c>
      <c r="X5" s="15">
        <f t="shared" ref="X5:X13" si="15">D5/$G5*60</f>
        <v>1.92</v>
      </c>
      <c r="Y5" s="15">
        <f t="shared" ref="Y5:Y13" si="16">E5/$G5*60</f>
        <v>2.1599999999999997</v>
      </c>
      <c r="Z5" s="15">
        <f t="shared" ref="Z5:Z13" si="17">F5/$G5*60</f>
        <v>2.4</v>
      </c>
    </row>
    <row r="6" spans="1:26" s="8" customFormat="1" x14ac:dyDescent="0.2">
      <c r="A6" s="14" t="s">
        <v>124</v>
      </c>
      <c r="B6" s="14" t="s">
        <v>125</v>
      </c>
      <c r="C6" s="16">
        <v>8</v>
      </c>
      <c r="D6" s="17"/>
      <c r="E6" s="17"/>
      <c r="F6" s="18"/>
      <c r="G6" s="14">
        <v>180</v>
      </c>
      <c r="H6" s="11"/>
      <c r="I6" s="14">
        <v>10</v>
      </c>
      <c r="J6" s="11"/>
      <c r="K6" s="11"/>
      <c r="L6" s="15">
        <f t="shared" si="2"/>
        <v>0.66666666666666663</v>
      </c>
      <c r="M6" s="11"/>
      <c r="N6" s="11" t="s">
        <v>118</v>
      </c>
      <c r="O6" s="11"/>
      <c r="P6" s="11"/>
      <c r="Q6" s="11"/>
      <c r="R6" s="14">
        <f t="shared" ref="R6" si="18">G6*I6</f>
        <v>1800</v>
      </c>
      <c r="S6" s="16">
        <f t="shared" ref="S6" si="19">C6*$I6</f>
        <v>80</v>
      </c>
      <c r="T6" s="17"/>
      <c r="U6" s="17"/>
      <c r="V6" s="18"/>
      <c r="W6" s="19">
        <f t="shared" ref="W6" si="20">C6/$G6*60</f>
        <v>2.666666666666667</v>
      </c>
      <c r="X6" s="20"/>
      <c r="Y6" s="20"/>
      <c r="Z6" s="21"/>
    </row>
    <row r="7" spans="1:26" x14ac:dyDescent="0.2">
      <c r="A7" s="14" t="s">
        <v>117</v>
      </c>
      <c r="B7" s="14" t="s">
        <v>119</v>
      </c>
      <c r="C7" s="11">
        <v>20</v>
      </c>
      <c r="D7" s="11"/>
      <c r="E7" s="11"/>
      <c r="F7" s="11"/>
      <c r="G7" s="14">
        <v>450</v>
      </c>
      <c r="H7" s="11"/>
      <c r="I7" s="14">
        <v>2</v>
      </c>
      <c r="J7" s="11"/>
      <c r="K7" s="11"/>
      <c r="L7" s="15">
        <f t="shared" si="2"/>
        <v>0.26666666666666666</v>
      </c>
      <c r="M7" s="11"/>
      <c r="N7" s="11" t="s">
        <v>118</v>
      </c>
      <c r="O7" s="11"/>
      <c r="P7" s="11"/>
      <c r="Q7" s="11"/>
      <c r="R7" s="14">
        <f t="shared" si="9"/>
        <v>900</v>
      </c>
      <c r="S7" s="16">
        <f t="shared" ref="S7" si="21">C7*$I7</f>
        <v>40</v>
      </c>
      <c r="T7" s="17"/>
      <c r="U7" s="17"/>
      <c r="V7" s="18"/>
      <c r="W7" s="19">
        <f t="shared" ref="W7" si="22">C7/$G7*60</f>
        <v>2.666666666666667</v>
      </c>
      <c r="X7" s="20"/>
      <c r="Y7" s="20"/>
      <c r="Z7" s="21"/>
    </row>
    <row r="8" spans="1:26" x14ac:dyDescent="0.2">
      <c r="A8" s="14" t="s">
        <v>91</v>
      </c>
      <c r="B8" s="11" t="s">
        <v>111</v>
      </c>
      <c r="C8" s="14">
        <v>21</v>
      </c>
      <c r="D8" s="14">
        <v>24</v>
      </c>
      <c r="E8" s="14">
        <v>27</v>
      </c>
      <c r="F8" s="14">
        <v>30</v>
      </c>
      <c r="G8" s="14">
        <v>600</v>
      </c>
      <c r="H8" s="11">
        <v>0.4</v>
      </c>
      <c r="I8" s="14">
        <v>2</v>
      </c>
      <c r="J8" s="11">
        <v>1.25</v>
      </c>
      <c r="K8" s="11">
        <v>160</v>
      </c>
      <c r="L8" s="15">
        <f t="shared" si="2"/>
        <v>0.2</v>
      </c>
      <c r="M8" s="11">
        <v>5</v>
      </c>
      <c r="N8" s="14">
        <v>1</v>
      </c>
      <c r="O8" s="14">
        <v>1</v>
      </c>
      <c r="P8" s="14">
        <v>1</v>
      </c>
      <c r="Q8" s="14">
        <v>1</v>
      </c>
      <c r="R8" s="14">
        <f t="shared" si="9"/>
        <v>1200</v>
      </c>
      <c r="S8" s="14">
        <f t="shared" si="10"/>
        <v>42</v>
      </c>
      <c r="T8" s="14">
        <f t="shared" si="11"/>
        <v>48</v>
      </c>
      <c r="U8" s="14">
        <f t="shared" si="12"/>
        <v>54</v>
      </c>
      <c r="V8" s="14">
        <f t="shared" si="13"/>
        <v>60</v>
      </c>
      <c r="W8" s="15">
        <f t="shared" si="14"/>
        <v>2.1</v>
      </c>
      <c r="X8" s="15">
        <f t="shared" si="15"/>
        <v>2.4</v>
      </c>
      <c r="Y8" s="15">
        <f t="shared" si="16"/>
        <v>2.6999999999999997</v>
      </c>
      <c r="Z8" s="15">
        <f t="shared" si="17"/>
        <v>3</v>
      </c>
    </row>
    <row r="9" spans="1:26" s="8" customFormat="1" x14ac:dyDescent="0.2">
      <c r="A9" s="14" t="s">
        <v>122</v>
      </c>
      <c r="B9" s="11"/>
      <c r="C9" s="14">
        <v>24</v>
      </c>
      <c r="D9" s="14">
        <v>27</v>
      </c>
      <c r="E9" s="14">
        <v>30</v>
      </c>
      <c r="F9" s="14">
        <v>33</v>
      </c>
      <c r="G9" s="14">
        <v>667</v>
      </c>
      <c r="H9" s="11"/>
      <c r="I9" s="14">
        <v>1.8</v>
      </c>
      <c r="J9" s="11"/>
      <c r="K9" s="11"/>
      <c r="L9" s="15">
        <f t="shared" si="2"/>
        <v>0.17991004497751126</v>
      </c>
      <c r="M9" s="11"/>
      <c r="N9" s="14">
        <v>1</v>
      </c>
      <c r="O9" s="14">
        <v>1</v>
      </c>
      <c r="P9" s="14">
        <v>1</v>
      </c>
      <c r="Q9" s="14">
        <v>1</v>
      </c>
      <c r="R9" s="14">
        <f t="shared" ref="R9" si="23">G9*I9</f>
        <v>1200.6000000000001</v>
      </c>
      <c r="S9" s="14">
        <f t="shared" ref="S9" si="24">C9*$I9</f>
        <v>43.2</v>
      </c>
      <c r="T9" s="14">
        <f t="shared" ref="T9" si="25">D9*$I9</f>
        <v>48.6</v>
      </c>
      <c r="U9" s="14">
        <f t="shared" ref="U9" si="26">E9*$I9</f>
        <v>54</v>
      </c>
      <c r="V9" s="14">
        <f t="shared" ref="V9" si="27">F9*$I9</f>
        <v>59.4</v>
      </c>
      <c r="W9" s="15">
        <f t="shared" ref="W9" si="28">C9/$G9*60</f>
        <v>2.1589205397301345</v>
      </c>
      <c r="X9" s="15">
        <f t="shared" ref="X9" si="29">D9/$G9*60</f>
        <v>2.4287856071964016</v>
      </c>
      <c r="Y9" s="15">
        <f t="shared" ref="Y9" si="30">E9/$G9*60</f>
        <v>2.6986506746626691</v>
      </c>
      <c r="Z9" s="15">
        <f t="shared" ref="Z9" si="31">F9/$G9*60</f>
        <v>2.9685157421289357</v>
      </c>
    </row>
    <row r="10" spans="1:26" x14ac:dyDescent="0.2">
      <c r="A10" s="14" t="s">
        <v>108</v>
      </c>
      <c r="B10" s="11"/>
      <c r="C10" s="14">
        <v>28</v>
      </c>
      <c r="D10" s="14">
        <v>32</v>
      </c>
      <c r="E10" s="14">
        <v>36</v>
      </c>
      <c r="F10" s="14">
        <v>40</v>
      </c>
      <c r="G10" s="14">
        <v>800</v>
      </c>
      <c r="H10" s="11"/>
      <c r="I10" s="14">
        <v>1.5</v>
      </c>
      <c r="J10" s="11"/>
      <c r="K10" s="11"/>
      <c r="L10" s="15">
        <f t="shared" si="2"/>
        <v>0.15</v>
      </c>
      <c r="M10" s="11"/>
      <c r="N10" s="14">
        <v>1</v>
      </c>
      <c r="O10" s="14">
        <v>1</v>
      </c>
      <c r="P10" s="14">
        <v>1</v>
      </c>
      <c r="Q10" s="14">
        <v>1</v>
      </c>
      <c r="R10" s="14">
        <f t="shared" si="9"/>
        <v>1200</v>
      </c>
      <c r="S10" s="14">
        <f t="shared" si="10"/>
        <v>42</v>
      </c>
      <c r="T10" s="14">
        <f t="shared" si="11"/>
        <v>48</v>
      </c>
      <c r="U10" s="14">
        <f t="shared" si="12"/>
        <v>54</v>
      </c>
      <c r="V10" s="14">
        <f t="shared" si="13"/>
        <v>60</v>
      </c>
      <c r="W10" s="15">
        <f t="shared" si="14"/>
        <v>2.1</v>
      </c>
      <c r="X10" s="15">
        <f t="shared" si="15"/>
        <v>2.4</v>
      </c>
      <c r="Y10" s="15">
        <f t="shared" si="16"/>
        <v>2.6999999999999997</v>
      </c>
      <c r="Z10" s="15">
        <f t="shared" si="17"/>
        <v>3</v>
      </c>
    </row>
    <row r="11" spans="1:26" x14ac:dyDescent="0.2">
      <c r="A11" s="14" t="s">
        <v>112</v>
      </c>
      <c r="B11" s="14" t="s">
        <v>113</v>
      </c>
      <c r="C11" s="11">
        <v>60</v>
      </c>
      <c r="D11" s="11"/>
      <c r="E11" s="11"/>
      <c r="F11" s="11"/>
      <c r="G11" s="14">
        <v>750</v>
      </c>
      <c r="H11" s="11"/>
      <c r="I11" s="14">
        <v>2</v>
      </c>
      <c r="J11" s="11"/>
      <c r="K11" s="11"/>
      <c r="L11" s="15">
        <f t="shared" si="2"/>
        <v>0.16</v>
      </c>
      <c r="M11" s="14">
        <v>2.5</v>
      </c>
      <c r="N11" s="11" t="s">
        <v>116</v>
      </c>
      <c r="O11" s="11"/>
      <c r="P11" s="11"/>
      <c r="Q11" s="11"/>
      <c r="R11" s="14">
        <f t="shared" si="9"/>
        <v>1500</v>
      </c>
      <c r="S11" s="11">
        <f t="shared" ref="S11" si="32">C11*$I11</f>
        <v>120</v>
      </c>
      <c r="T11" s="11"/>
      <c r="U11" s="11"/>
      <c r="V11" s="11"/>
      <c r="W11" s="13">
        <v>6</v>
      </c>
      <c r="X11" s="13"/>
      <c r="Y11" s="13"/>
      <c r="Z11" s="13"/>
    </row>
    <row r="12" spans="1:26" x14ac:dyDescent="0.2">
      <c r="A12" s="14" t="s">
        <v>92</v>
      </c>
      <c r="B12" s="11">
        <v>338</v>
      </c>
      <c r="C12" s="14">
        <v>4</v>
      </c>
      <c r="D12" s="14">
        <v>5</v>
      </c>
      <c r="E12" s="14">
        <v>6</v>
      </c>
      <c r="F12" s="14">
        <v>7</v>
      </c>
      <c r="G12" s="14">
        <v>50</v>
      </c>
      <c r="H12" s="11">
        <v>0.5</v>
      </c>
      <c r="I12" s="14">
        <v>12</v>
      </c>
      <c r="J12" s="11">
        <v>1.5</v>
      </c>
      <c r="K12" s="11">
        <v>200</v>
      </c>
      <c r="L12" s="14"/>
      <c r="M12" s="11">
        <v>10</v>
      </c>
      <c r="N12" s="14">
        <v>1</v>
      </c>
      <c r="O12" s="14"/>
      <c r="P12" s="14"/>
      <c r="Q12" s="14">
        <v>1</v>
      </c>
      <c r="R12" s="14">
        <f t="shared" si="9"/>
        <v>600</v>
      </c>
      <c r="S12" s="14">
        <f t="shared" si="10"/>
        <v>48</v>
      </c>
      <c r="T12" s="14">
        <f t="shared" si="11"/>
        <v>60</v>
      </c>
      <c r="U12" s="14">
        <f t="shared" si="12"/>
        <v>72</v>
      </c>
      <c r="V12" s="14">
        <f t="shared" si="13"/>
        <v>84</v>
      </c>
      <c r="W12" s="15">
        <f t="shared" si="14"/>
        <v>4.8</v>
      </c>
      <c r="X12" s="15">
        <f t="shared" si="15"/>
        <v>6</v>
      </c>
      <c r="Y12" s="15">
        <f t="shared" si="16"/>
        <v>7.1999999999999993</v>
      </c>
      <c r="Z12" s="15">
        <f t="shared" si="17"/>
        <v>8.4</v>
      </c>
    </row>
    <row r="13" spans="1:26" x14ac:dyDescent="0.2">
      <c r="A13" s="14" t="s">
        <v>109</v>
      </c>
      <c r="B13" s="11"/>
      <c r="C13" s="14">
        <v>6</v>
      </c>
      <c r="D13" s="14">
        <v>8</v>
      </c>
      <c r="E13" s="14">
        <v>10</v>
      </c>
      <c r="F13" s="14">
        <v>12</v>
      </c>
      <c r="G13" s="14">
        <v>67</v>
      </c>
      <c r="H13" s="11"/>
      <c r="I13" s="14">
        <v>9</v>
      </c>
      <c r="J13" s="11"/>
      <c r="K13" s="11"/>
      <c r="L13" s="14"/>
      <c r="M13" s="11"/>
      <c r="N13" s="14">
        <v>1</v>
      </c>
      <c r="O13" s="14"/>
      <c r="P13" s="14"/>
      <c r="Q13" s="14">
        <v>1</v>
      </c>
      <c r="R13" s="14">
        <f t="shared" si="9"/>
        <v>603</v>
      </c>
      <c r="S13" s="14">
        <f t="shared" si="10"/>
        <v>54</v>
      </c>
      <c r="T13" s="14">
        <f t="shared" si="11"/>
        <v>72</v>
      </c>
      <c r="U13" s="14">
        <f t="shared" si="12"/>
        <v>90</v>
      </c>
      <c r="V13" s="14">
        <f t="shared" si="13"/>
        <v>108</v>
      </c>
      <c r="W13" s="15">
        <f t="shared" si="14"/>
        <v>5.3731343283582085</v>
      </c>
      <c r="X13" s="15">
        <f t="shared" si="15"/>
        <v>7.1641791044776122</v>
      </c>
      <c r="Y13" s="15">
        <f t="shared" si="16"/>
        <v>8.9552238805970141</v>
      </c>
      <c r="Z13" s="15">
        <f t="shared" si="17"/>
        <v>10.746268656716417</v>
      </c>
    </row>
    <row r="14" spans="1:26" s="8" customFormat="1" x14ac:dyDescent="0.2">
      <c r="A14" s="14" t="s">
        <v>120</v>
      </c>
      <c r="B14" s="11"/>
      <c r="C14" s="14">
        <v>9</v>
      </c>
      <c r="D14" s="14">
        <v>12</v>
      </c>
      <c r="E14" s="14">
        <v>15</v>
      </c>
      <c r="F14" s="14">
        <v>18</v>
      </c>
      <c r="G14" s="14">
        <v>100</v>
      </c>
      <c r="H14" s="11"/>
      <c r="I14" s="14">
        <v>6</v>
      </c>
      <c r="J14" s="11"/>
      <c r="K14" s="11"/>
      <c r="L14" s="14"/>
      <c r="M14" s="11"/>
      <c r="N14" s="14">
        <v>1</v>
      </c>
      <c r="O14" s="14"/>
      <c r="P14" s="14"/>
      <c r="Q14" s="14">
        <v>1</v>
      </c>
      <c r="R14" s="14">
        <f t="shared" si="9"/>
        <v>600</v>
      </c>
      <c r="S14" s="14">
        <f t="shared" ref="S14" si="33">C14*$I14</f>
        <v>54</v>
      </c>
      <c r="T14" s="14">
        <f t="shared" ref="T14" si="34">D14*$I14</f>
        <v>72</v>
      </c>
      <c r="U14" s="14">
        <f t="shared" ref="U14" si="35">E14*$I14</f>
        <v>90</v>
      </c>
      <c r="V14" s="14">
        <f t="shared" ref="V14" si="36">F14*$I14</f>
        <v>108</v>
      </c>
      <c r="W14" s="15">
        <f t="shared" ref="W14" si="37">C14/$G14*60</f>
        <v>5.3999999999999995</v>
      </c>
      <c r="X14" s="15">
        <f t="shared" ref="X14" si="38">D14/$G14*60</f>
        <v>7.1999999999999993</v>
      </c>
      <c r="Y14" s="15">
        <f t="shared" ref="Y14" si="39">E14/$G14*60</f>
        <v>9</v>
      </c>
      <c r="Z14" s="15">
        <f t="shared" ref="Z14" si="40">F14/$G14*60</f>
        <v>10.799999999999999</v>
      </c>
    </row>
    <row r="15" spans="1:26" x14ac:dyDescent="0.2">
      <c r="A15" s="14" t="s">
        <v>114</v>
      </c>
      <c r="B15" s="14" t="s">
        <v>115</v>
      </c>
      <c r="C15" s="11">
        <v>4</v>
      </c>
      <c r="D15" s="11"/>
      <c r="E15" s="11"/>
      <c r="F15" s="11"/>
      <c r="G15" s="14">
        <v>30</v>
      </c>
      <c r="H15" s="11"/>
      <c r="I15" s="14">
        <v>20</v>
      </c>
      <c r="J15" s="14">
        <v>1.75</v>
      </c>
      <c r="K15" s="11"/>
      <c r="L15" s="14"/>
      <c r="M15" s="11"/>
      <c r="N15" s="11" t="s">
        <v>121</v>
      </c>
      <c r="O15" s="11"/>
      <c r="P15" s="11"/>
      <c r="Q15" s="11"/>
      <c r="R15" s="14">
        <f t="shared" si="9"/>
        <v>600</v>
      </c>
      <c r="S15" s="11">
        <f t="shared" ref="S15" si="41">C15*$I15</f>
        <v>80</v>
      </c>
      <c r="T15" s="11"/>
      <c r="U15" s="11"/>
      <c r="V15" s="11"/>
      <c r="W15" s="13">
        <f t="shared" ref="W15" si="42">C15/$G15*60</f>
        <v>8</v>
      </c>
      <c r="X15" s="13"/>
      <c r="Y15" s="13"/>
      <c r="Z15" s="13"/>
    </row>
    <row r="17" spans="1:6" x14ac:dyDescent="0.2">
      <c r="A17" s="14" t="s">
        <v>93</v>
      </c>
      <c r="B17" s="14" t="s">
        <v>95</v>
      </c>
      <c r="C17" s="14" t="s">
        <v>104</v>
      </c>
      <c r="D17" s="14" t="s">
        <v>96</v>
      </c>
      <c r="E17" s="14" t="s">
        <v>97</v>
      </c>
      <c r="F17" s="14" t="s">
        <v>98</v>
      </c>
    </row>
    <row r="18" spans="1:6" x14ac:dyDescent="0.2">
      <c r="A18" s="14" t="s">
        <v>94</v>
      </c>
      <c r="B18" s="14">
        <v>0.5</v>
      </c>
      <c r="C18" s="14">
        <v>1</v>
      </c>
      <c r="D18" s="14">
        <v>0.2</v>
      </c>
      <c r="E18" s="14">
        <v>0.1</v>
      </c>
      <c r="F18" s="14">
        <v>0</v>
      </c>
    </row>
    <row r="20" spans="1:6" x14ac:dyDescent="0.2">
      <c r="A20" s="11" t="s">
        <v>99</v>
      </c>
      <c r="B20" s="11"/>
      <c r="C20" s="14" t="s">
        <v>100</v>
      </c>
      <c r="D20" s="14" t="s">
        <v>101</v>
      </c>
    </row>
    <row r="21" spans="1:6" x14ac:dyDescent="0.2">
      <c r="A21" s="11" t="s">
        <v>102</v>
      </c>
      <c r="B21" s="11"/>
      <c r="C21" s="14">
        <v>1</v>
      </c>
      <c r="D21" s="14">
        <v>0.5</v>
      </c>
    </row>
    <row r="22" spans="1:6" x14ac:dyDescent="0.2">
      <c r="A22" s="11" t="s">
        <v>103</v>
      </c>
      <c r="B22" s="11"/>
      <c r="C22" s="14">
        <v>0.5</v>
      </c>
      <c r="D22" s="14">
        <v>1</v>
      </c>
    </row>
  </sheetData>
  <mergeCells count="48">
    <mergeCell ref="S7:V7"/>
    <mergeCell ref="W7:Z7"/>
    <mergeCell ref="C6:F6"/>
    <mergeCell ref="N6:Q6"/>
    <mergeCell ref="S6:V6"/>
    <mergeCell ref="W6:Z6"/>
    <mergeCell ref="A21:B21"/>
    <mergeCell ref="A20:B20"/>
    <mergeCell ref="A22:B22"/>
    <mergeCell ref="J1:J2"/>
    <mergeCell ref="K1:K2"/>
    <mergeCell ref="A1:A2"/>
    <mergeCell ref="B1:B2"/>
    <mergeCell ref="C1:F1"/>
    <mergeCell ref="G1:G2"/>
    <mergeCell ref="H1:H2"/>
    <mergeCell ref="I1:I2"/>
    <mergeCell ref="B3:B5"/>
    <mergeCell ref="B8:B10"/>
    <mergeCell ref="C11:F11"/>
    <mergeCell ref="B12:B14"/>
    <mergeCell ref="S1:V1"/>
    <mergeCell ref="W1:Z1"/>
    <mergeCell ref="R1:R2"/>
    <mergeCell ref="L1:L2"/>
    <mergeCell ref="M1:M2"/>
    <mergeCell ref="N1:Q1"/>
    <mergeCell ref="M8:M10"/>
    <mergeCell ref="C15:F15"/>
    <mergeCell ref="H8:H11"/>
    <mergeCell ref="J8:J11"/>
    <mergeCell ref="K8:K11"/>
    <mergeCell ref="H12:H15"/>
    <mergeCell ref="K12:K15"/>
    <mergeCell ref="J12:J14"/>
    <mergeCell ref="S11:V11"/>
    <mergeCell ref="W11:Z11"/>
    <mergeCell ref="N11:Q11"/>
    <mergeCell ref="N15:Q15"/>
    <mergeCell ref="M12:M15"/>
    <mergeCell ref="S15:V15"/>
    <mergeCell ref="W15:Z15"/>
    <mergeCell ref="C7:F7"/>
    <mergeCell ref="H3:H7"/>
    <mergeCell ref="J3:J7"/>
    <mergeCell ref="K3:K7"/>
    <mergeCell ref="N7:Q7"/>
    <mergeCell ref="M3:M7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周子皓</dc:creator>
  <cp:lastModifiedBy>子皓 周</cp:lastModifiedBy>
  <dcterms:created xsi:type="dcterms:W3CDTF">2015-06-05T18:19:34Z</dcterms:created>
  <dcterms:modified xsi:type="dcterms:W3CDTF">2025-07-23T05:59:41Z</dcterms:modified>
</cp:coreProperties>
</file>